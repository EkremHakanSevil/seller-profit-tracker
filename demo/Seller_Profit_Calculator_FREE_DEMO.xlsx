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Profit Calculat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Example: Etsy charges a listing fee per item (USD 0.20 at time of writing). Check your platform's fee page.</t>
        </r>
      </text>
    </comment>
    <comment ref="B9" authorId="0">
      <text>
        <r>
          <rPr>
            <sz val="10"/>
            <rFont val="Arial"/>
            <family val="2"/>
          </rPr>
          <t xml:space="preserve">Example: Etsy transaction fee 6.5% at time of writing. Check your platform's fee page.</t>
        </r>
      </text>
    </comment>
    <comment ref="B10" authorId="0">
      <text>
        <r>
          <rPr>
            <sz val="10"/>
            <rFont val="Arial"/>
            <family val="2"/>
          </rPr>
          <t xml:space="preserve">Example rate only. Payment processing fees differ by country. Check your platform's fee page.</t>
        </r>
      </text>
    </comment>
    <comment ref="B11" authorId="0">
      <text>
        <r>
          <rPr>
            <sz val="10"/>
            <rFont val="Arial"/>
            <family val="2"/>
          </rPr>
          <t xml:space="preserve">Example rate only. Differs by country. Check your platform's fee page.</t>
        </r>
      </text>
    </comment>
    <comment ref="B12" authorId="0">
      <text>
        <r>
          <rPr>
            <sz val="10"/>
            <rFont val="Arial"/>
            <family val="2"/>
          </rPr>
          <t xml:space="preserve">Leave at 0% if you are paid in the same currency you sell in.</t>
        </r>
      </text>
    </comment>
  </commentList>
</comments>
</file>

<file path=xl/sharedStrings.xml><?xml version="1.0" encoding="utf-8"?>
<sst xmlns="http://schemas.openxmlformats.org/spreadsheetml/2006/main" count="76" uniqueCount="75">
  <si>
    <t xml:space="preserve">Seller Profit Calculator (Free Demo)</t>
  </si>
  <si>
    <t xml:space="preserve">FREE DEMO by LaneLedger Co.  ·  Microsoft Excel and Google Sheets</t>
  </si>
  <si>
    <t xml:space="preserve">See your profit, break-even price and the price you need for your target margin, after platform fees.</t>
  </si>
  <si>
    <t xml:space="preserve">What this free demo includes</t>
  </si>
  <si>
    <t xml:space="preserve">•  Profit Calculator with break-even price and price for a target margin</t>
  </si>
  <si>
    <t xml:space="preserve">•  Editable platform fee settings (listing, transaction, payment processing, currency conversion)</t>
  </si>
  <si>
    <t xml:space="preserve">The full version adds</t>
  </si>
  <si>
    <t xml:space="preserve">•  Sales Log with automatic fees, net profit and margin for every order (500 rows)</t>
  </si>
  <si>
    <t xml:space="preserve">•  Expenses tracker by category</t>
  </si>
  <si>
    <t xml:space="preserve">•  Yearly Dashboard with monthly sales, fees, costs, net profit and a chart</t>
  </si>
  <si>
    <t xml:space="preserve">Get the full version on Etsy →</t>
  </si>
  <si>
    <t xml:space="preserve">Colour key</t>
  </si>
  <si>
    <t xml:space="preserve">Pale yellow cells are the cells you fill in. Grey cells calculate automatically.</t>
  </si>
  <si>
    <t xml:space="preserve">This demo is free to use in your own business. Please don't resell it.</t>
  </si>
  <si>
    <t xml:space="preserve">Settings</t>
  </si>
  <si>
    <t xml:space="preserve">Edit the pale yellow cells. Every other tab reads from here.</t>
  </si>
  <si>
    <t xml:space="preserve">Your business</t>
  </si>
  <si>
    <t xml:space="preserve">Expense categories</t>
  </si>
  <si>
    <t xml:space="preserve">Sales channels</t>
  </si>
  <si>
    <t xml:space="preserve">Shop / business name</t>
  </si>
  <si>
    <t xml:space="preserve">Your Shop Name</t>
  </si>
  <si>
    <t xml:space="preserve">Supplies &amp; Materials</t>
  </si>
  <si>
    <t xml:space="preserve">Etsy</t>
  </si>
  <si>
    <t xml:space="preserve">Packaging</t>
  </si>
  <si>
    <t xml:space="preserve">Shopify</t>
  </si>
  <si>
    <t xml:space="preserve">Platform fees (example rates)</t>
  </si>
  <si>
    <t xml:space="preserve">Shipping Supplies</t>
  </si>
  <si>
    <t xml:space="preserve">Website</t>
  </si>
  <si>
    <t xml:space="preserve">Listing fee per item sold</t>
  </si>
  <si>
    <t xml:space="preserve">Advertising</t>
  </si>
  <si>
    <t xml:space="preserve">Instagram</t>
  </si>
  <si>
    <t xml:space="preserve">Transaction fee (% of item price + shipping)</t>
  </si>
  <si>
    <t xml:space="preserve">Platform Subscriptions</t>
  </si>
  <si>
    <t xml:space="preserve">Other</t>
  </si>
  <si>
    <t xml:space="preserve">Payment processing fee (%)</t>
  </si>
  <si>
    <t xml:space="preserve">Software &amp; Tools</t>
  </si>
  <si>
    <t xml:space="preserve">Payment processing fixed fee per order</t>
  </si>
  <si>
    <t xml:space="preserve">Equipment</t>
  </si>
  <si>
    <t xml:space="preserve">Currency conversion fee (%) - optional</t>
  </si>
  <si>
    <t xml:space="preserve">Education</t>
  </si>
  <si>
    <t xml:space="preserve">Bank &amp; Payment Fees</t>
  </si>
  <si>
    <t xml:space="preserve">Pricing</t>
  </si>
  <si>
    <t xml:space="preserve">Taxes &amp; Licenses</t>
  </si>
  <si>
    <t xml:space="preserve">Default target profit margin</t>
  </si>
  <si>
    <t xml:space="preserve">Total % fee rate (calculated)</t>
  </si>
  <si>
    <t xml:space="preserve">Profit Calculator</t>
  </si>
  <si>
    <t xml:space="preserve">Try a price before you list it. Uses the fee rates from Settings.</t>
  </si>
  <si>
    <t xml:space="preserve">Free demo · Get the full tracker on Etsy →</t>
  </si>
  <si>
    <t xml:space="preserve">Your numbers (per order)</t>
  </si>
  <si>
    <t xml:space="preserve">Item price</t>
  </si>
  <si>
    <t xml:space="preserve">Shipping charged to buyer</t>
  </si>
  <si>
    <t xml:space="preserve">Enter 0 for digital products or free shipping</t>
  </si>
  <si>
    <t xml:space="preserve">Quantity in the order</t>
  </si>
  <si>
    <t xml:space="preserve">Product / material cost (whole order)</t>
  </si>
  <si>
    <t xml:space="preserve">Your shipping cost</t>
  </si>
  <si>
    <t xml:space="preserve">Packaging cost</t>
  </si>
  <si>
    <t xml:space="preserve">Advertising cost per sale</t>
  </si>
  <si>
    <t xml:space="preserve">Your ad spend divided by orders</t>
  </si>
  <si>
    <t xml:space="preserve">Target profit margin</t>
  </si>
  <si>
    <t xml:space="preserve">Linked to Settings; overwrite to test other margins</t>
  </si>
  <si>
    <t xml:space="preserve">Results</t>
  </si>
  <si>
    <t xml:space="preserve">Gross sale</t>
  </si>
  <si>
    <t xml:space="preserve">Item price x quantity + shipping charged</t>
  </si>
  <si>
    <t xml:space="preserve">Platform fees</t>
  </si>
  <si>
    <t xml:space="preserve">Listing + transaction + processing fees</t>
  </si>
  <si>
    <t xml:space="preserve">Your costs</t>
  </si>
  <si>
    <t xml:space="preserve">Product + shipping + packaging + ads</t>
  </si>
  <si>
    <t xml:space="preserve">Net profit</t>
  </si>
  <si>
    <t xml:space="preserve">What you keep</t>
  </si>
  <si>
    <t xml:space="preserve">Profit margin</t>
  </si>
  <si>
    <t xml:space="preserve">Net profit / gross sale</t>
  </si>
  <si>
    <t xml:space="preserve">Break-even item price</t>
  </si>
  <si>
    <t xml:space="preserve">Below this price you lose money</t>
  </si>
  <si>
    <t xml:space="preserve">Item price for target margin</t>
  </si>
  <si>
    <t xml:space="preserve">Price that gives you the target margin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</si>
</sst>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[RED]\-#,##0.00;\-"/>
    <numFmt numFmtId="166" formatCode="0.0%"/>
    <numFmt numFmtId="167" formatCode="0%"/>
    <numFmt numFmtId="168" formatCode="0"/>
    <numFmt numFmtId="169" formatCode="0.0%;[RED]\-0.0%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5A"/>
      <name val="Arial"/>
      <family val="0"/>
      <charset val="1"/>
    </font>
    <font>
      <i val="true"/>
      <sz val="10"/>
      <color rgb="FF5A6770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2"/>
      <color rgb="FF1F4E5A"/>
      <name val="Arial"/>
      <family val="0"/>
      <charset val="1"/>
    </font>
    <font>
      <b val="true"/>
      <u val="single"/>
      <sz val="12"/>
      <color rgb="FF1A5FB4"/>
      <name val="Arial"/>
      <family val="0"/>
      <charset val="1"/>
    </font>
    <font>
      <sz val="10"/>
      <color rgb="FF1A3D8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name val="Arial"/>
      <family val="2"/>
    </font>
    <font>
      <b val="true"/>
      <u val="single"/>
      <sz val="10"/>
      <color rgb="FF1A5FB4"/>
      <name val="Arial"/>
      <family val="0"/>
      <charset val="1"/>
    </font>
    <font>
      <i val="true"/>
      <sz val="9"/>
      <color rgb="FF5A677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6D6"/>
        <bgColor rgb="FFF4F5F6"/>
      </patternFill>
    </fill>
    <fill>
      <patternFill patternType="solid">
        <fgColor rgb="FFF4F5F6"/>
        <bgColor rgb="FFE3EEF0"/>
      </patternFill>
    </fill>
    <fill>
      <patternFill patternType="solid">
        <fgColor rgb="FFE3EEF0"/>
        <bgColor rgb="FFF4F5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DD"/>
      </left>
      <right style="thin">
        <color rgb="FFD5DADD"/>
      </right>
      <top style="thin">
        <color rgb="FFD5DADD"/>
      </top>
      <bottom style="thin">
        <color rgb="FFD5DA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392B"/>
        <sz val="10"/>
      </font>
    </dxf>
  </dxfs>
  <colors>
    <indexedColors>
      <rgbColor rgb="FF000000"/>
      <rgbColor rgb="FFF4F5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C3CB"/>
      <rgbColor rgb="FF808080"/>
      <rgbColor rgb="FF9999FF"/>
      <rgbColor rgb="FF993366"/>
      <rgbColor rgb="FFFFF6D6"/>
      <rgbColor rgb="FFE3EEF0"/>
      <rgbColor rgb="FF660066"/>
      <rgbColor rgb="FFFF8080"/>
      <rgbColor rgb="FF1A5FB4"/>
      <rgbColor rgb="FFD5DA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770"/>
      <rgbColor rgb="FF969696"/>
      <rgbColor rgb="FF1F4E5A"/>
      <rgbColor rgb="FF339966"/>
      <rgbColor rgb="FF003300"/>
      <rgbColor rgb="FF333300"/>
      <rgbColor rgb="FFC0392B"/>
      <rgbColor rgb="FF993366"/>
      <rgbColor rgb="FF1A3D8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2364714/seller-profit-tracker-spreadsheet-etsy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2364714/seller-profit-tracker-spreadsheet-ets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5"/>
  </cols>
  <sheetData>
    <row r="1" customFormat="false" ht="30" hidden="false" customHeight="true" outlineLevel="0" collapsed="false">
      <c r="A1" s="2"/>
      <c r="B1" s="2" t="s">
        <v>0</v>
      </c>
    </row>
    <row r="2" customFormat="false" ht="15" hidden="false" customHeight="true" outlineLevel="0" collapsed="false">
      <c r="A2" s="3"/>
      <c r="B2" s="3" t="s">
        <v>1</v>
      </c>
    </row>
    <row r="3" customFormat="false" ht="15" hidden="false" customHeight="false" outlineLevel="0" collapsed="false">
      <c r="A3" s="4"/>
      <c r="B3" s="4"/>
    </row>
    <row r="4" customFormat="false" ht="21.75" hidden="false" customHeight="true" outlineLevel="0" collapsed="false">
      <c r="A4" s="4"/>
      <c r="B4" s="5" t="s">
        <v>2</v>
      </c>
    </row>
    <row r="5" customFormat="false" ht="15" hidden="false" customHeight="true" outlineLevel="0" collapsed="false">
      <c r="A5" s="4"/>
      <c r="B5" s="5"/>
    </row>
    <row r="6" customFormat="false" ht="15" hidden="false" customHeight="true" outlineLevel="0" collapsed="false">
      <c r="A6" s="4"/>
      <c r="B6" s="6" t="s">
        <v>3</v>
      </c>
    </row>
    <row r="7" customFormat="false" ht="15" hidden="false" customHeight="true" outlineLevel="0" collapsed="false">
      <c r="A7" s="4"/>
      <c r="B7" s="5" t="s">
        <v>4</v>
      </c>
    </row>
    <row r="8" customFormat="false" ht="15" hidden="false" customHeight="true" outlineLevel="0" collapsed="false">
      <c r="A8" s="4"/>
      <c r="B8" s="5" t="s">
        <v>5</v>
      </c>
    </row>
    <row r="9" customFormat="false" ht="15" hidden="false" customHeight="true" outlineLevel="0" collapsed="false">
      <c r="A9" s="4"/>
      <c r="B9" s="5"/>
    </row>
    <row r="10" customFormat="false" ht="15" hidden="false" customHeight="true" outlineLevel="0" collapsed="false">
      <c r="A10" s="4"/>
      <c r="B10" s="6" t="s">
        <v>6</v>
      </c>
    </row>
    <row r="11" customFormat="false" ht="21.75" hidden="false" customHeight="true" outlineLevel="0" collapsed="false">
      <c r="A11" s="4"/>
      <c r="B11" s="5" t="s">
        <v>7</v>
      </c>
    </row>
    <row r="12" customFormat="false" ht="15" hidden="false" customHeight="true" outlineLevel="0" collapsed="false">
      <c r="A12" s="4"/>
      <c r="B12" s="5" t="s">
        <v>8</v>
      </c>
    </row>
    <row r="13" customFormat="false" ht="15" hidden="false" customHeight="true" outlineLevel="0" collapsed="false">
      <c r="A13" s="4"/>
      <c r="B13" s="5" t="s">
        <v>9</v>
      </c>
    </row>
    <row r="14" customFormat="false" ht="15" hidden="false" customHeight="true" outlineLevel="0" collapsed="false">
      <c r="A14" s="4"/>
      <c r="B14" s="5"/>
    </row>
    <row r="15" customFormat="false" ht="21.75" hidden="false" customHeight="true" outlineLevel="0" collapsed="false">
      <c r="A15" s="4"/>
      <c r="B15" s="7" t="s">
        <v>10</v>
      </c>
    </row>
    <row r="16" customFormat="false" ht="15" hidden="false" customHeight="true" outlineLevel="0" collapsed="false">
      <c r="A16" s="4"/>
      <c r="B16" s="5"/>
    </row>
    <row r="17" customFormat="false" ht="15" hidden="false" customHeight="true" outlineLevel="0" collapsed="false">
      <c r="A17" s="4"/>
      <c r="B17" s="6" t="s">
        <v>11</v>
      </c>
    </row>
    <row r="18" customFormat="false" ht="15" hidden="false" customHeight="true" outlineLevel="0" collapsed="false">
      <c r="A18" s="4"/>
      <c r="B18" s="8" t="s">
        <v>12</v>
      </c>
    </row>
    <row r="19" customFormat="false" ht="15" hidden="false" customHeight="true" outlineLevel="0" collapsed="false">
      <c r="A19" s="4"/>
      <c r="B19" s="5"/>
    </row>
    <row r="20" customFormat="false" ht="15" hidden="false" customHeight="true" outlineLevel="0" collapsed="false">
      <c r="A20" s="4"/>
      <c r="B20" s="5" t="s">
        <v>13</v>
      </c>
    </row>
  </sheetData>
  <hyperlinks>
    <hyperlink ref="B15" r:id="rId1" display="Get the full version on Etsy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C3CB"/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28"/>
    <col collapsed="false" customWidth="true" hidden="false" outlineLevel="0" max="5" min="5" style="1" width="4"/>
    <col collapsed="false" customWidth="true" hidden="false" outlineLevel="0" max="6" min="6" style="1" width="18"/>
  </cols>
  <sheetData>
    <row r="1" customFormat="false" ht="30" hidden="false" customHeight="true" outlineLevel="0" collapsed="false">
      <c r="A1" s="9" t="s">
        <v>14</v>
      </c>
    </row>
    <row r="2" customFormat="false" ht="15" hidden="false" customHeight="true" outlineLevel="0" collapsed="false">
      <c r="A2" s="10" t="s">
        <v>15</v>
      </c>
    </row>
    <row r="4" customFormat="false" ht="15" hidden="false" customHeight="true" outlineLevel="0" collapsed="false">
      <c r="A4" s="11" t="s">
        <v>16</v>
      </c>
      <c r="D4" s="11" t="s">
        <v>17</v>
      </c>
      <c r="F4" s="11" t="s">
        <v>18</v>
      </c>
    </row>
    <row r="5" customFormat="false" ht="15" hidden="false" customHeight="true" outlineLevel="0" collapsed="false">
      <c r="A5" s="12" t="s">
        <v>19</v>
      </c>
      <c r="B5" s="13" t="s">
        <v>20</v>
      </c>
      <c r="D5" s="13" t="s">
        <v>21</v>
      </c>
      <c r="F5" s="13" t="s">
        <v>22</v>
      </c>
    </row>
    <row r="6" customFormat="false" ht="15" hidden="false" customHeight="true" outlineLevel="0" collapsed="false">
      <c r="D6" s="13" t="s">
        <v>23</v>
      </c>
      <c r="F6" s="13" t="s">
        <v>24</v>
      </c>
    </row>
    <row r="7" customFormat="false" ht="15" hidden="false" customHeight="true" outlineLevel="0" collapsed="false">
      <c r="A7" s="11" t="s">
        <v>25</v>
      </c>
      <c r="D7" s="13" t="s">
        <v>26</v>
      </c>
      <c r="F7" s="13" t="s">
        <v>27</v>
      </c>
    </row>
    <row r="8" customFormat="false" ht="15" hidden="false" customHeight="true" outlineLevel="0" collapsed="false">
      <c r="A8" s="12" t="s">
        <v>28</v>
      </c>
      <c r="B8" s="14" t="n">
        <v>0.2</v>
      </c>
      <c r="D8" s="13" t="s">
        <v>29</v>
      </c>
      <c r="F8" s="13" t="s">
        <v>30</v>
      </c>
    </row>
    <row r="9" customFormat="false" ht="15" hidden="false" customHeight="true" outlineLevel="0" collapsed="false">
      <c r="A9" s="12" t="s">
        <v>31</v>
      </c>
      <c r="B9" s="15" t="n">
        <v>0.065</v>
      </c>
      <c r="D9" s="13" t="s">
        <v>32</v>
      </c>
      <c r="F9" s="13" t="s">
        <v>33</v>
      </c>
    </row>
    <row r="10" customFormat="false" ht="15" hidden="false" customHeight="true" outlineLevel="0" collapsed="false">
      <c r="A10" s="12" t="s">
        <v>34</v>
      </c>
      <c r="B10" s="15" t="n">
        <v>0.03</v>
      </c>
      <c r="D10" s="13" t="s">
        <v>35</v>
      </c>
    </row>
    <row r="11" customFormat="false" ht="15" hidden="false" customHeight="true" outlineLevel="0" collapsed="false">
      <c r="A11" s="12" t="s">
        <v>36</v>
      </c>
      <c r="B11" s="14" t="n">
        <v>0.25</v>
      </c>
      <c r="D11" s="13" t="s">
        <v>37</v>
      </c>
    </row>
    <row r="12" customFormat="false" ht="15" hidden="false" customHeight="true" outlineLevel="0" collapsed="false">
      <c r="A12" s="12" t="s">
        <v>38</v>
      </c>
      <c r="B12" s="15" t="n">
        <v>0</v>
      </c>
      <c r="D12" s="13" t="s">
        <v>39</v>
      </c>
    </row>
    <row r="13" customFormat="false" ht="15" hidden="false" customHeight="true" outlineLevel="0" collapsed="false">
      <c r="D13" s="13" t="s">
        <v>40</v>
      </c>
    </row>
    <row r="14" customFormat="false" ht="15" hidden="false" customHeight="true" outlineLevel="0" collapsed="false">
      <c r="A14" s="11" t="s">
        <v>41</v>
      </c>
      <c r="D14" s="13" t="s">
        <v>42</v>
      </c>
    </row>
    <row r="15" customFormat="false" ht="15" hidden="false" customHeight="true" outlineLevel="0" collapsed="false">
      <c r="A15" s="12" t="s">
        <v>43</v>
      </c>
      <c r="B15" s="16" t="n">
        <v>0.3</v>
      </c>
      <c r="D15" s="13" t="s">
        <v>33</v>
      </c>
    </row>
    <row r="17" customFormat="false" ht="15" hidden="false" customHeight="true" outlineLevel="0" collapsed="false">
      <c r="A17" s="17" t="s">
        <v>44</v>
      </c>
      <c r="B17" s="18" t="n">
        <f aca="false">B9+B10+B12</f>
        <v>0.095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C3CB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50"/>
  </cols>
  <sheetData>
    <row r="1" customFormat="false" ht="30" hidden="false" customHeight="true" outlineLevel="0" collapsed="false">
      <c r="A1" s="9" t="s">
        <v>45</v>
      </c>
    </row>
    <row r="2" customFormat="false" ht="15" hidden="false" customHeight="true" outlineLevel="0" collapsed="false">
      <c r="A2" s="10" t="s">
        <v>46</v>
      </c>
      <c r="C2" s="19" t="s">
        <v>47</v>
      </c>
    </row>
    <row r="4" customFormat="false" ht="15" hidden="false" customHeight="true" outlineLevel="0" collapsed="false">
      <c r="A4" s="11" t="s">
        <v>48</v>
      </c>
    </row>
    <row r="5" customFormat="false" ht="15" hidden="false" customHeight="true" outlineLevel="0" collapsed="false">
      <c r="A5" s="12" t="s">
        <v>49</v>
      </c>
      <c r="B5" s="14" t="n">
        <v>24</v>
      </c>
      <c r="C5" s="20"/>
    </row>
    <row r="6" customFormat="false" ht="15" hidden="false" customHeight="true" outlineLevel="0" collapsed="false">
      <c r="A6" s="12" t="s">
        <v>50</v>
      </c>
      <c r="B6" s="14" t="n">
        <v>5</v>
      </c>
      <c r="C6" s="20" t="s">
        <v>51</v>
      </c>
    </row>
    <row r="7" customFormat="false" ht="15" hidden="false" customHeight="true" outlineLevel="0" collapsed="false">
      <c r="A7" s="12" t="s">
        <v>52</v>
      </c>
      <c r="B7" s="21" t="n">
        <v>1</v>
      </c>
      <c r="C7" s="20"/>
    </row>
    <row r="8" customFormat="false" ht="15" hidden="false" customHeight="true" outlineLevel="0" collapsed="false">
      <c r="A8" s="12" t="s">
        <v>53</v>
      </c>
      <c r="B8" s="14" t="n">
        <v>6.5</v>
      </c>
      <c r="C8" s="20"/>
    </row>
    <row r="9" customFormat="false" ht="15" hidden="false" customHeight="true" outlineLevel="0" collapsed="false">
      <c r="A9" s="12" t="s">
        <v>54</v>
      </c>
      <c r="B9" s="14" t="n">
        <v>4.2</v>
      </c>
      <c r="C9" s="20"/>
    </row>
    <row r="10" customFormat="false" ht="15" hidden="false" customHeight="true" outlineLevel="0" collapsed="false">
      <c r="A10" s="12" t="s">
        <v>55</v>
      </c>
      <c r="B10" s="14" t="n">
        <v>0.8</v>
      </c>
      <c r="C10" s="20"/>
    </row>
    <row r="11" customFormat="false" ht="15" hidden="false" customHeight="true" outlineLevel="0" collapsed="false">
      <c r="A11" s="12" t="s">
        <v>56</v>
      </c>
      <c r="B11" s="14" t="n">
        <v>1</v>
      </c>
      <c r="C11" s="20" t="s">
        <v>57</v>
      </c>
    </row>
    <row r="12" customFormat="false" ht="15" hidden="false" customHeight="true" outlineLevel="0" collapsed="false">
      <c r="A12" s="12" t="s">
        <v>58</v>
      </c>
      <c r="B12" s="16" t="n">
        <f aca="false">Settings!B15</f>
        <v>0.3</v>
      </c>
      <c r="C12" s="20" t="s">
        <v>59</v>
      </c>
    </row>
    <row r="14" customFormat="false" ht="15" hidden="false" customHeight="true" outlineLevel="0" collapsed="false">
      <c r="A14" s="11" t="s">
        <v>60</v>
      </c>
    </row>
    <row r="15" customFormat="false" ht="15" hidden="false" customHeight="true" outlineLevel="0" collapsed="false">
      <c r="A15" s="12" t="s">
        <v>61</v>
      </c>
      <c r="B15" s="22" t="n">
        <f aca="false">B5*B7+B6</f>
        <v>29</v>
      </c>
      <c r="C15" s="20" t="s">
        <v>62</v>
      </c>
    </row>
    <row r="16" customFormat="false" ht="15" hidden="false" customHeight="true" outlineLevel="0" collapsed="false">
      <c r="A16" s="12" t="s">
        <v>63</v>
      </c>
      <c r="B16" s="22" t="n">
        <f aca="false">(Settings!$B$8*B7+Settings!$B$11)+B15*(Settings!$B$9+Settings!$B$10+Settings!$B$12)</f>
        <v>3.205</v>
      </c>
      <c r="C16" s="20" t="s">
        <v>64</v>
      </c>
    </row>
    <row r="17" customFormat="false" ht="15" hidden="false" customHeight="true" outlineLevel="0" collapsed="false">
      <c r="A17" s="12" t="s">
        <v>65</v>
      </c>
      <c r="B17" s="22" t="n">
        <f aca="false">B8+B9+B10+B11</f>
        <v>12.5</v>
      </c>
      <c r="C17" s="20" t="s">
        <v>66</v>
      </c>
    </row>
    <row r="18" customFormat="false" ht="15" hidden="false" customHeight="true" outlineLevel="0" collapsed="false">
      <c r="A18" s="17" t="s">
        <v>67</v>
      </c>
      <c r="B18" s="23" t="n">
        <f aca="false">B15-B16-B17</f>
        <v>13.295</v>
      </c>
      <c r="C18" s="20" t="s">
        <v>68</v>
      </c>
    </row>
    <row r="19" customFormat="false" ht="15" hidden="false" customHeight="true" outlineLevel="0" collapsed="false">
      <c r="A19" s="12" t="s">
        <v>69</v>
      </c>
      <c r="B19" s="24" t="n">
        <f aca="false">IF(B15=0,0,B18/B15)</f>
        <v>0.458448275862069</v>
      </c>
      <c r="C19" s="20" t="s">
        <v>70</v>
      </c>
    </row>
    <row r="21" customFormat="false" ht="15" hidden="false" customHeight="true" outlineLevel="0" collapsed="false">
      <c r="A21" s="17" t="s">
        <v>71</v>
      </c>
      <c r="B21" s="23" t="n">
        <f aca="false">IF(OR(B7&lt;=0,1-(Settings!$B$9+Settings!$B$10+Settings!$B$12)&lt;=0),"n/a",(((Settings!$B$8*B7+Settings!$B$11)+B17)/(1-(Settings!$B$9+Settings!$B$10+Settings!$B$12))-B6)/B7)</f>
        <v>9.30939226519337</v>
      </c>
      <c r="C21" s="20" t="s">
        <v>72</v>
      </c>
    </row>
    <row r="22" customFormat="false" ht="15" hidden="false" customHeight="true" outlineLevel="0" collapsed="false">
      <c r="A22" s="17" t="s">
        <v>73</v>
      </c>
      <c r="B22" s="23" t="n">
        <f aca="false">IF(OR(B7&lt;=0,1-(Settings!$B$9+Settings!$B$10+Settings!$B$12)-B12&lt;=0),"Lower target",(((Settings!$B$8*B7+Settings!$B$11)+B17)/(1-(Settings!$B$9+Settings!$B$10+Settings!$B$12)-B12)-B6)/B7)</f>
        <v>16.404958677686</v>
      </c>
      <c r="C22" s="20" t="s">
        <v>74</v>
      </c>
    </row>
  </sheetData>
  <conditionalFormatting sqref="B18">
    <cfRule type="cellIs" priority="2" operator="lessThan" aboveAverage="0" equalAverage="0" bottom="0" percent="0" rank="0" text="" dxfId="0">
      <formula>0</formula>
    </cfRule>
  </conditionalFormatting>
  <hyperlinks>
    <hyperlink ref="C2" r:id="rId1" display="Free demo · Get the full tracker on Etsy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2026-10-24T16:20:46Z</dcterms:created>
  <dc:creator>openpyxl</dc:creator>
  <dc:description/>
  <dc:language>en-US</dc:language>
  <cp:lastModifiedBy/>
  <dcterms:modified xsi:type="dcterms:W3CDTF">2026-10-24T16:51:48Z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